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3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Library/CloudStorage/GoogleDrive-varuna@mapup.ai/Shared drives/common/Hiring-Common/December-2023/Dzone-Hiring/"/>
    </mc:Choice>
  </mc:AlternateContent>
  <xr:revisionPtr revIDLastSave="320" documentId="13_ncr:1_{48EB4397-F178-E54E-B28D-22A41FCA72D2}" xr6:coauthVersionLast="47" xr6:coauthVersionMax="47" xr10:uidLastSave="{A264AE15-B2D2-404C-A495-65E3D9E9C55A}"/>
  <bookViews>
    <workbookView xWindow="0" yWindow="500" windowWidth="29400" windowHeight="16300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/>
  <c r="C5" i="15"/>
  <c r="F30" i="18"/>
  <c r="E30" i="18"/>
  <c r="D30" i="18"/>
  <c r="C30" i="18"/>
  <c r="B30" i="18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<sst xmlns="http://schemas.openxmlformats.org/spreadsheetml/2006/main" count="408" uniqueCount="185">
  <si>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</si>
  <si>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</si>
  <si>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</si>
  <si>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</si>
  <si>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</si>
  <si>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</si>
  <si>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</si>
  <si>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</si>
  <si>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</si>
  <si>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</si>
  <si>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</si>
  <si>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</si>
  <si>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</si>
  <si>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</si>
  <si>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</si>
  <si>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</si>
  <si>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</si>
  <si>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</si>
  <si>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</si>
  <si>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</si>
  <si>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</si>
  <si>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</si>
  <si>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</si>
  <si>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</si>
  <si>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</si>
  <si>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</si>
  <si>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</si>
  <si>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</si>
  <si>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</si>
  <si>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</si>
  <si>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</si>
  <si>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</si>
  <si>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</si>
  <si>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</si>
  <si>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</si>
  <si>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</si>
  <si>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</si>
  <si>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</si>
  <si>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</si>
  <si>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</si>
  <si>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</si>
  <si>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</si>
  <si>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</si>
  <si>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</si>
  <si>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</si>
  <si>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</si>
  <si>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</si>
  <si>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</si>
  <si>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</si>
  <si>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</si>
  <si>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</si>
  <si>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</si>
  <si>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</si>
  <si>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</si>
  <si>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</si>
  <si>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</si>
  <si>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</si>
  <si>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</si>
  <si>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</si>
  <si>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</si>
  <si>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</si>
  <si>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</si>
  <si>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</si>
  <si>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</si>
  <si>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</si>
  <si>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</si>
  <si>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</si>
  <si>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</si>
  <si>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</si>
  <si>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</si>
  <si>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</si>
  <si>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</si>
  <si>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</si>
  <si>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</si>
  <si>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</si>
  <si>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</si>
  <si>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</si>
  <si>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</si>
  <si>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</si>
  <si>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</si>
  <si>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</si>
  <si>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</si>
  <si>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</si>
  <si>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</si>
  <si>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</si>
  <si>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</si>
  <si>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</si>
  <si>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</si>
  <si>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</si>
  <si>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</si>
  <si>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</si>
  <si>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</si>
  <si>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</si>
  <si>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</si>
  <si>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</si>
  <si>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</si>
  <si>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</si>
  <si>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</si>
  <si>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 xml:space="preserve">Text Parsing or Text Splitting </t>
  </si>
  <si>
    <t>Explanation:</t>
  </si>
  <si>
    <t xml:space="preserve">Step 1) - Select the cell or column that contains the values you want to split.
Step 2) - Go to the "Data" tab in the Excel ribbon.
Step 3) - Click on "Text to Columns."
Step 4) - Choose "Delimited" and click "Next."
Step 5) - Choose the delimiter (such as comma, space, or a custom delimiter) and click "Next."
Step 6) - Specify the destination for the split data and click "Finish."
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</si>
  <si>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</si>
  <si>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</si>
  <si>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</si>
  <si>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</si>
  <si>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</si>
  <si>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</si>
  <si>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</si>
  <si>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</si>
  <si>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</si>
  <si>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 xml:space="preserve">Monday 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</si>
  <si>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</si>
  <si>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</si>
  <si>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</si>
  <si>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</si>
  <si>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</si>
  <si>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</si>
  <si>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</si>
  <si>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</si>
  <si>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</si>
  <si>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</si>
  <si>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</si>
  <si>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</si>
  <si>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</si>
  <si>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</si>
  <si>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</si>
  <si>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</si>
  <si>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</si>
  <si>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</si>
  <si>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</si>
  <si>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</si>
  <si>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</si>
  <si>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</si>
  <si>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</si>
  <si>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</si>
  <si>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</si>
  <si>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</si>
  <si>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</si>
  <si>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</si>
  <si>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</si>
  <si>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</si>
  <si>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</si>
  <si>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</si>
  <si>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</si>
  <si>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</si>
  <si>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</si>
  <si>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</si>
  <si>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</si>
  <si>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</si>
  <si>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</si>
  <si>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</si>
  <si>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This Functionality we called it as Conditional Sum With Replacement.</t>
  </si>
  <si>
    <t xml:space="preserve">1) Identifies #N/A values: Checks the "Sales" column (C12 to C21) for #N/A values using ISNA.
2) Replaces #N/A with 20: Using IF, replaces any #N/A values with '20' and keeps non-#N/A values unchanged.
3) Calculates the sum: Computes the sum of the modified values in the "Sales" column using SUM.
4) Result: Provides the total sales, where any #N/A values have been substituted with '20'.
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</si>
  <si>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</si>
  <si>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</si>
  <si>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</si>
  <si>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</si>
  <si>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</si>
  <si>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</si>
  <si>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</si>
  <si>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</si>
  <si>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</si>
  <si>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</si>
  <si>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</si>
  <si>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</si>
  <si>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</si>
  <si>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</si>
  <si>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</si>
  <si>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We can called this functionality two - dimensional lookup or matrix lookup.</t>
  </si>
  <si>
    <t xml:space="preserve">In Table_C, the formula =INDEX(Table_A, MATCH(A2, Table_B[ID], 0), MATCH(B2, Table_B[ID], 0)) uses the MATCH function to find the row and column indices in Table_A based on "name_1" and "name_2." The INDEX function then retrieves the corresponding value from Table_A. This process is repeated for each row in Table_C, dynamically populating the "value" column based on relationships specified in Table_B.
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</si>
  <si>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</si>
  <si>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</si>
  <si>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</si>
  <si>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</si>
  <si>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</si>
  <si>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</si>
  <si>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</si>
  <si>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</si>
  <si>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</si>
  <si>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</si>
  <si>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</si>
  <si>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</si>
  <si>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</si>
  <si>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</si>
  <si>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>95 10100 10104 -1 10108 10102 390 10100 10106 305 10108 10110 430 10102 10104 -1 10106 10108 115 10102 10106 210 10110 10114 54.6 10104 10106 60 10110 10112 72 10100 10114 0 10112 10116 -1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</si>
</sst>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FFFF"/>
      <name val="Söhne Mono"/>
      <charset val="1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0" fontId="3" fillId="6" borderId="0" xfId="0" applyFont="1" applyFill="1"/>
    <xf numFmtId="0" fontId="3" fillId="7" borderId="0" xfId="0" applyFont="1" applyFill="1"/>
    <xf numFmtId="165" fontId="3" fillId="0" borderId="0" xfId="0" applyNumberFormat="1" applyFont="1"/>
    <xf numFmtId="0" fontId="3" fillId="0" borderId="0" xfId="0" applyFont="1" applyBorder="1"/>
    <xf numFmtId="0" fontId="15" fillId="0" borderId="0" xfId="0" applyFont="1" applyAlignment="1">
      <alignment wrapText="1"/>
    </xf>
    <xf numFmtId="0" fontId="15" fillId="0" borderId="0" xfId="0" applyFont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7" fillId="0" borderId="0" xfId="0" applyFont="1" applyAlignment="1">
      <alignment vertical="top"/>
    </xf>
    <xf numFmtId="0" fontId="3" fillId="0" borderId="0" xfId="0" applyFont="1" applyAlignment="1">
      <alignment horizontal="left" vertical="top"/>
    </xf>
    <xf numFmtId="0" fontId="18" fillId="0" borderId="0" xfId="0" applyFont="1"/>
    <xf numFmtId="0" fontId="15" fillId="0" borderId="0" xfId="0" applyFont="1" applyAlignment="1"/>
    <xf numFmtId="0" fontId="8" fillId="0" borderId="0" xfId="0" applyFont="1" applyAlignme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14" sqref="B14"/>
    </sheetView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7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4" t="s">
        <v>6</v>
      </c>
      <c r="B9" s="24" t="s">
        <v>7</v>
      </c>
    </row>
    <row r="10" spans="1:3">
      <c r="A10" s="33" t="s">
        <v>8</v>
      </c>
      <c r="B10" s="35">
        <v>25</v>
      </c>
    </row>
    <row r="11" spans="1:3">
      <c r="A11" s="33" t="s">
        <v>9</v>
      </c>
      <c r="B11" s="35">
        <v>30</v>
      </c>
    </row>
    <row r="12" spans="1:3">
      <c r="A12" s="33" t="s">
        <v>10</v>
      </c>
      <c r="B12" s="35">
        <v>10</v>
      </c>
    </row>
    <row r="13" spans="1:3">
      <c r="A13" s="33" t="s">
        <v>11</v>
      </c>
      <c r="B13" s="35">
        <v>20</v>
      </c>
    </row>
    <row r="14" spans="1:3">
      <c r="A14" s="33" t="s">
        <v>12</v>
      </c>
      <c r="B14" s="35">
        <v>40</v>
      </c>
    </row>
    <row r="15" spans="1:3">
      <c r="A15" s="36" t="s">
        <v>13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2" activePane="bottomLeft" state="frozen"/>
      <selection pane="bottomLeft" activeCell="V2" sqref="V2:V40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17.1640625" style="1" customWidth="1"/>
    <col min="4" max="4" width="15.83203125" style="22" customWidth="1"/>
    <col min="5" max="5" width="15.5" style="1" customWidth="1"/>
    <col min="6" max="6" width="14.6640625" style="22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.33203125" style="1" bestFit="1" customWidth="1"/>
    <col min="25" max="16384" width="9" style="1"/>
  </cols>
  <sheetData>
    <row r="1" spans="1:24" s="3" customFormat="1" ht="14.85" customHeight="1">
      <c r="A1" s="25" t="s">
        <v>14</v>
      </c>
      <c r="B1" s="25" t="s">
        <v>15</v>
      </c>
      <c r="C1" s="25" t="s">
        <v>16</v>
      </c>
      <c r="D1" s="26" t="s">
        <v>17</v>
      </c>
      <c r="E1" s="25" t="s">
        <v>18</v>
      </c>
      <c r="F1" s="26" t="s">
        <v>19</v>
      </c>
      <c r="G1" s="27" t="s">
        <v>20</v>
      </c>
      <c r="H1" s="27" t="s">
        <v>21</v>
      </c>
      <c r="I1" s="27" t="s">
        <v>22</v>
      </c>
      <c r="J1" s="28" t="s">
        <v>23</v>
      </c>
      <c r="K1" s="28" t="s">
        <v>24</v>
      </c>
      <c r="L1" s="28" t="s">
        <v>25</v>
      </c>
      <c r="M1" s="27" t="s">
        <v>26</v>
      </c>
      <c r="N1" s="27" t="s">
        <v>27</v>
      </c>
      <c r="O1" s="27" t="s">
        <v>28</v>
      </c>
      <c r="P1" s="28" t="s">
        <v>29</v>
      </c>
      <c r="Q1" s="28" t="s">
        <v>30</v>
      </c>
      <c r="R1" s="28" t="s">
        <v>31</v>
      </c>
      <c r="S1" s="27" t="s">
        <v>32</v>
      </c>
      <c r="T1" s="27" t="s">
        <v>33</v>
      </c>
      <c r="U1" s="28" t="s">
        <v>34</v>
      </c>
      <c r="V1" s="28" t="s">
        <v>35</v>
      </c>
      <c r="W1" s="28" t="s">
        <v>36</v>
      </c>
      <c r="X1" s="3" t="s">
        <v>37</v>
      </c>
    </row>
    <row r="2" spans="1:24">
      <c r="A2" s="1" t="s">
        <v>38</v>
      </c>
      <c r="B2" s="1">
        <v>20000</v>
      </c>
      <c r="C2" s="1" t="s">
        <v>39</v>
      </c>
      <c r="D2" s="22">
        <v>0</v>
      </c>
      <c r="E2" s="1" t="s">
        <v>40</v>
      </c>
      <c r="F2" s="22">
        <v>0.99998842592592596</v>
      </c>
      <c r="G2" s="1">
        <v>2.7</v>
      </c>
      <c r="H2" s="1">
        <v>3.6</v>
      </c>
      <c r="I2" s="1">
        <v>4.2</v>
      </c>
      <c r="J2" s="44">
        <v>-1</v>
      </c>
      <c r="K2" s="44">
        <v>-1</v>
      </c>
      <c r="L2" s="44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41</v>
      </c>
      <c r="B3" s="1">
        <v>20002</v>
      </c>
      <c r="C3" s="1" t="s">
        <v>39</v>
      </c>
      <c r="D3" s="22">
        <v>0</v>
      </c>
      <c r="E3" s="1" t="s">
        <v>40</v>
      </c>
      <c r="F3" s="22">
        <v>0.99998842592592596</v>
      </c>
      <c r="G3" s="1">
        <v>2.7</v>
      </c>
      <c r="H3" s="1">
        <v>3.6</v>
      </c>
      <c r="I3" s="1">
        <v>4.2</v>
      </c>
      <c r="J3" s="44">
        <v>-1</v>
      </c>
      <c r="K3" s="44">
        <v>-1</v>
      </c>
      <c r="L3" s="44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42</v>
      </c>
      <c r="B4" s="1">
        <v>20004</v>
      </c>
      <c r="C4" s="1" t="s">
        <v>39</v>
      </c>
      <c r="D4" s="22">
        <v>0</v>
      </c>
      <c r="E4" s="1" t="s">
        <v>40</v>
      </c>
      <c r="F4" s="22">
        <v>0.99998842592592596</v>
      </c>
      <c r="G4" s="1">
        <v>3.6</v>
      </c>
      <c r="H4" s="1">
        <v>5.4</v>
      </c>
      <c r="I4" s="1">
        <v>5.8</v>
      </c>
      <c r="J4" s="44">
        <v>-1</v>
      </c>
      <c r="K4" s="44">
        <v>-1</v>
      </c>
      <c r="L4" s="44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43</v>
      </c>
      <c r="B5" s="1">
        <v>20006</v>
      </c>
      <c r="C5" s="1" t="s">
        <v>39</v>
      </c>
      <c r="D5" s="22">
        <v>0</v>
      </c>
      <c r="E5" s="1" t="s">
        <v>40</v>
      </c>
      <c r="F5" s="22">
        <v>0.99998842592592596</v>
      </c>
      <c r="G5" s="1">
        <v>4.9000000000000004</v>
      </c>
      <c r="H5" s="1">
        <v>6.6</v>
      </c>
      <c r="I5" s="1">
        <v>8.1</v>
      </c>
      <c r="J5" s="44">
        <v>-1</v>
      </c>
      <c r="K5" s="44">
        <v>-1</v>
      </c>
      <c r="L5" s="44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44</v>
      </c>
      <c r="B6" s="1">
        <v>20008</v>
      </c>
      <c r="C6" s="1" t="s">
        <v>39</v>
      </c>
      <c r="D6" s="22">
        <v>0</v>
      </c>
      <c r="E6" s="1" t="s">
        <v>40</v>
      </c>
      <c r="F6" s="22">
        <v>0.99998842592592596</v>
      </c>
      <c r="G6" s="1">
        <v>6.6</v>
      </c>
      <c r="H6" s="1">
        <v>8.8000000000000007</v>
      </c>
      <c r="I6" s="1">
        <v>11</v>
      </c>
      <c r="J6" s="44">
        <v>-1</v>
      </c>
      <c r="K6" s="44">
        <v>-1</v>
      </c>
      <c r="L6" s="44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45</v>
      </c>
      <c r="B7" s="1">
        <v>20010</v>
      </c>
      <c r="C7" s="1" t="s">
        <v>39</v>
      </c>
      <c r="D7" s="22">
        <v>0</v>
      </c>
      <c r="E7" s="1" t="s">
        <v>40</v>
      </c>
      <c r="F7" s="22">
        <v>0.99998842592592596</v>
      </c>
      <c r="G7" s="1">
        <v>7.1</v>
      </c>
      <c r="H7" s="1">
        <v>10.4</v>
      </c>
      <c r="I7" s="1">
        <v>12.8</v>
      </c>
      <c r="J7" s="44">
        <v>-1</v>
      </c>
      <c r="K7" s="44">
        <v>-1</v>
      </c>
      <c r="L7" s="44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46</v>
      </c>
      <c r="B8" s="1">
        <v>20012</v>
      </c>
      <c r="C8" s="1" t="s">
        <v>39</v>
      </c>
      <c r="D8" s="22">
        <v>0</v>
      </c>
      <c r="E8" s="1" t="s">
        <v>40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44">
        <v>-1</v>
      </c>
      <c r="K8" s="44">
        <v>-1</v>
      </c>
      <c r="L8" s="44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47</v>
      </c>
      <c r="B9" s="1">
        <v>20014</v>
      </c>
      <c r="C9" s="1" t="s">
        <v>39</v>
      </c>
      <c r="D9" s="22">
        <v>0</v>
      </c>
      <c r="E9" s="1" t="s">
        <v>40</v>
      </c>
      <c r="F9" s="22">
        <v>0.99998842592592596</v>
      </c>
      <c r="G9" s="1">
        <v>11.6</v>
      </c>
      <c r="H9" s="1">
        <v>17.3</v>
      </c>
      <c r="I9" s="1">
        <v>21.3</v>
      </c>
      <c r="J9" s="44">
        <v>-1</v>
      </c>
      <c r="K9" s="44">
        <v>-1</v>
      </c>
      <c r="L9" s="44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48</v>
      </c>
      <c r="B10" s="1">
        <v>20016</v>
      </c>
      <c r="C10" s="1" t="s">
        <v>39</v>
      </c>
      <c r="D10" s="22">
        <v>0</v>
      </c>
      <c r="E10" s="1" t="s">
        <v>40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44">
        <v>-1</v>
      </c>
      <c r="K10" s="44">
        <v>-1</v>
      </c>
      <c r="L10" s="44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49</v>
      </c>
      <c r="B11" s="1">
        <v>20018</v>
      </c>
      <c r="C11" s="1" t="s">
        <v>39</v>
      </c>
      <c r="D11" s="22">
        <v>0</v>
      </c>
      <c r="E11" s="1" t="s">
        <v>40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44">
        <v>-1</v>
      </c>
      <c r="K11" s="44">
        <v>-1</v>
      </c>
      <c r="L11" s="44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50</v>
      </c>
      <c r="B12" s="1">
        <v>20020</v>
      </c>
      <c r="C12" s="1" t="s">
        <v>39</v>
      </c>
      <c r="D12" s="22">
        <v>0</v>
      </c>
      <c r="E12" s="1" t="s">
        <v>40</v>
      </c>
      <c r="F12" s="22">
        <v>0.99998842592592596</v>
      </c>
      <c r="G12" s="45">
        <v>0</v>
      </c>
      <c r="H12" s="45">
        <v>0</v>
      </c>
      <c r="I12" s="45">
        <v>0</v>
      </c>
      <c r="J12" s="45">
        <v>0</v>
      </c>
      <c r="K12" s="45">
        <v>0</v>
      </c>
      <c r="L12" s="45">
        <v>0</v>
      </c>
      <c r="M12" s="45">
        <v>0</v>
      </c>
      <c r="N12" s="45">
        <v>0</v>
      </c>
      <c r="O12" s="45">
        <v>0</v>
      </c>
      <c r="P12" s="45">
        <v>0</v>
      </c>
      <c r="Q12" s="45">
        <v>0</v>
      </c>
      <c r="R12" s="45">
        <v>0</v>
      </c>
      <c r="S12" s="45">
        <v>0</v>
      </c>
      <c r="T12" s="45">
        <v>0</v>
      </c>
      <c r="U12" s="45">
        <v>0</v>
      </c>
      <c r="V12" s="45">
        <v>0</v>
      </c>
      <c r="W12" s="45">
        <v>0</v>
      </c>
      <c r="X12" s="46">
        <v>45116</v>
      </c>
    </row>
    <row r="13" spans="1:24">
      <c r="A13" s="1" t="s">
        <v>51</v>
      </c>
      <c r="B13" s="1">
        <v>20022</v>
      </c>
      <c r="C13" s="1" t="s">
        <v>39</v>
      </c>
      <c r="D13" s="22">
        <v>0</v>
      </c>
      <c r="E13" s="1" t="s">
        <v>40</v>
      </c>
      <c r="F13" s="22">
        <v>0.99998842592592596</v>
      </c>
      <c r="G13" s="1">
        <v>21.9</v>
      </c>
      <c r="H13" s="1">
        <v>32.1</v>
      </c>
      <c r="I13" s="1">
        <v>40.1</v>
      </c>
      <c r="J13" s="44">
        <v>-1</v>
      </c>
      <c r="K13" s="44">
        <v>-1</v>
      </c>
      <c r="L13" s="44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52</v>
      </c>
      <c r="B14" s="1">
        <v>20024</v>
      </c>
      <c r="C14" s="1" t="s">
        <v>39</v>
      </c>
      <c r="D14" s="22">
        <v>0</v>
      </c>
      <c r="E14" s="1" t="s">
        <v>40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44">
        <v>-1</v>
      </c>
      <c r="K14" s="44">
        <v>-1</v>
      </c>
      <c r="L14" s="44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53</v>
      </c>
      <c r="B15" s="1">
        <v>20026</v>
      </c>
      <c r="C15" s="1" t="s">
        <v>39</v>
      </c>
      <c r="D15" s="22">
        <v>0</v>
      </c>
      <c r="E15" s="1" t="s">
        <v>40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44">
        <v>-1</v>
      </c>
      <c r="K15" s="44">
        <v>-1</v>
      </c>
      <c r="L15" s="44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54</v>
      </c>
      <c r="B16" s="1">
        <v>20028</v>
      </c>
      <c r="C16" s="1" t="s">
        <v>39</v>
      </c>
      <c r="D16" s="22">
        <v>0</v>
      </c>
      <c r="E16" s="1" t="s">
        <v>40</v>
      </c>
      <c r="F16" s="22">
        <v>0.99998842592592596</v>
      </c>
      <c r="G16" s="1">
        <v>28</v>
      </c>
      <c r="H16" s="1">
        <v>41</v>
      </c>
      <c r="I16" s="1">
        <v>50.1</v>
      </c>
      <c r="J16" s="44">
        <v>-1</v>
      </c>
      <c r="K16" s="44">
        <v>-1</v>
      </c>
      <c r="L16" s="44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55</v>
      </c>
      <c r="B17" s="1">
        <v>20030</v>
      </c>
      <c r="C17" s="1" t="s">
        <v>39</v>
      </c>
      <c r="D17" s="22">
        <v>0</v>
      </c>
      <c r="E17" s="1" t="s">
        <v>40</v>
      </c>
      <c r="F17" s="22">
        <v>0.99998842592592596</v>
      </c>
      <c r="G17" s="1">
        <v>28.5</v>
      </c>
      <c r="H17" s="1">
        <v>42.3</v>
      </c>
      <c r="I17" s="1">
        <v>52.3</v>
      </c>
      <c r="J17" s="44">
        <v>-1</v>
      </c>
      <c r="K17" s="44">
        <v>-1</v>
      </c>
      <c r="L17" s="44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56</v>
      </c>
      <c r="B18" s="1">
        <v>20032</v>
      </c>
      <c r="C18" s="1" t="s">
        <v>39</v>
      </c>
      <c r="D18" s="22">
        <v>0</v>
      </c>
      <c r="E18" s="1" t="s">
        <v>40</v>
      </c>
      <c r="F18" s="22">
        <v>0.99998842592592596</v>
      </c>
      <c r="G18" s="1">
        <v>29.1</v>
      </c>
      <c r="H18" s="1">
        <v>43.3</v>
      </c>
      <c r="I18" s="1">
        <v>53.7</v>
      </c>
      <c r="J18" s="44">
        <v>-1</v>
      </c>
      <c r="K18" s="44">
        <v>-1</v>
      </c>
      <c r="L18" s="44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57</v>
      </c>
      <c r="B19" s="1">
        <v>20034</v>
      </c>
      <c r="C19" s="1" t="s">
        <v>39</v>
      </c>
      <c r="D19" s="22">
        <v>0</v>
      </c>
      <c r="E19" s="1" t="s">
        <v>40</v>
      </c>
      <c r="F19" s="22">
        <v>0.99998842592592596</v>
      </c>
      <c r="G19" s="1">
        <v>30.7</v>
      </c>
      <c r="H19" s="1">
        <v>45.5</v>
      </c>
      <c r="I19" s="1">
        <v>57</v>
      </c>
      <c r="J19" s="44">
        <v>-1</v>
      </c>
      <c r="K19" s="44">
        <v>-1</v>
      </c>
      <c r="L19" s="44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58</v>
      </c>
      <c r="B20" s="1">
        <v>20036</v>
      </c>
      <c r="C20" s="1" t="s">
        <v>39</v>
      </c>
      <c r="D20" s="22">
        <v>0</v>
      </c>
      <c r="E20" s="1" t="s">
        <v>40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44">
        <v>-1</v>
      </c>
      <c r="K20" s="44">
        <v>-1</v>
      </c>
      <c r="L20" s="44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59</v>
      </c>
      <c r="B21" s="1">
        <v>20038</v>
      </c>
      <c r="C21" s="1" t="s">
        <v>39</v>
      </c>
      <c r="D21" s="22">
        <v>0</v>
      </c>
      <c r="E21" s="1" t="s">
        <v>40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44">
        <v>-1</v>
      </c>
      <c r="K21" s="44">
        <v>-1</v>
      </c>
      <c r="L21" s="44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60</v>
      </c>
      <c r="B22" s="1">
        <v>20040</v>
      </c>
      <c r="C22" s="1" t="s">
        <v>39</v>
      </c>
      <c r="D22" s="22">
        <v>0</v>
      </c>
      <c r="E22" s="1" t="s">
        <v>40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44">
        <v>-1</v>
      </c>
      <c r="K22" s="44">
        <v>-1</v>
      </c>
      <c r="L22" s="44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61</v>
      </c>
      <c r="B23" s="1">
        <v>20042</v>
      </c>
      <c r="C23" s="1" t="s">
        <v>39</v>
      </c>
      <c r="D23" s="22">
        <v>0</v>
      </c>
      <c r="E23" s="1" t="s">
        <v>40</v>
      </c>
      <c r="F23" s="22">
        <v>0.99998842592592596</v>
      </c>
      <c r="G23" s="1">
        <v>38</v>
      </c>
      <c r="H23" s="1">
        <v>57.2</v>
      </c>
      <c r="I23" s="1">
        <v>68.7</v>
      </c>
      <c r="J23" s="44">
        <v>-1</v>
      </c>
      <c r="K23" s="44">
        <v>-1</v>
      </c>
      <c r="L23" s="44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62</v>
      </c>
      <c r="B24" s="1">
        <v>20044</v>
      </c>
      <c r="C24" s="1" t="s">
        <v>39</v>
      </c>
      <c r="D24" s="22">
        <v>0</v>
      </c>
      <c r="E24" s="1" t="s">
        <v>40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44">
        <v>-1</v>
      </c>
      <c r="K24" s="44">
        <v>-1</v>
      </c>
      <c r="L24" s="44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63</v>
      </c>
      <c r="B25" s="1">
        <v>20046</v>
      </c>
      <c r="C25" s="1" t="s">
        <v>39</v>
      </c>
      <c r="D25" s="22">
        <v>0</v>
      </c>
      <c r="E25" s="1" t="s">
        <v>40</v>
      </c>
      <c r="F25" s="22">
        <v>0.99998842592592596</v>
      </c>
      <c r="G25" s="1">
        <v>40.1</v>
      </c>
      <c r="H25" s="1">
        <v>59.2</v>
      </c>
      <c r="I25" s="1">
        <v>72.8</v>
      </c>
      <c r="J25" s="44">
        <v>-1</v>
      </c>
      <c r="K25" s="44">
        <v>-1</v>
      </c>
      <c r="L25" s="44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64</v>
      </c>
      <c r="B26" s="1">
        <v>20048</v>
      </c>
      <c r="C26" s="1" t="s">
        <v>39</v>
      </c>
      <c r="D26" s="22">
        <v>0</v>
      </c>
      <c r="E26" s="1" t="s">
        <v>40</v>
      </c>
      <c r="F26" s="22">
        <v>0.99998842592592596</v>
      </c>
      <c r="G26" s="45">
        <v>0</v>
      </c>
      <c r="H26" s="45">
        <v>0</v>
      </c>
      <c r="I26" s="45">
        <v>0</v>
      </c>
      <c r="J26" s="45">
        <v>0</v>
      </c>
      <c r="K26" s="45">
        <v>0</v>
      </c>
      <c r="L26" s="45">
        <v>0</v>
      </c>
      <c r="M26" s="45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6">
        <v>45142</v>
      </c>
    </row>
    <row r="27" spans="1:24">
      <c r="A27" s="1" t="s">
        <v>65</v>
      </c>
      <c r="B27" s="1">
        <v>20050</v>
      </c>
      <c r="C27" s="1" t="s">
        <v>39</v>
      </c>
      <c r="D27" s="22">
        <v>0</v>
      </c>
      <c r="E27" s="1" t="s">
        <v>40</v>
      </c>
      <c r="F27" s="22">
        <v>0.99998842592592596</v>
      </c>
      <c r="G27" s="1">
        <v>41.3</v>
      </c>
      <c r="H27" s="1">
        <v>61.4</v>
      </c>
      <c r="I27" s="1">
        <v>75</v>
      </c>
      <c r="J27" s="44">
        <v>-1</v>
      </c>
      <c r="K27" s="44">
        <v>-1</v>
      </c>
      <c r="L27" s="44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66</v>
      </c>
      <c r="B28" s="1">
        <v>20052</v>
      </c>
      <c r="C28" s="1" t="s">
        <v>39</v>
      </c>
      <c r="D28" s="22">
        <v>0</v>
      </c>
      <c r="E28" s="1" t="s">
        <v>40</v>
      </c>
      <c r="F28" s="22">
        <v>0.99998842592592596</v>
      </c>
      <c r="G28" s="1">
        <v>42.3</v>
      </c>
      <c r="H28" s="1">
        <v>61.4</v>
      </c>
      <c r="I28" s="1">
        <v>75</v>
      </c>
      <c r="J28" s="44">
        <v>-1</v>
      </c>
      <c r="K28" s="44">
        <v>-1</v>
      </c>
      <c r="L28" s="44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67</v>
      </c>
      <c r="B29" s="1">
        <v>20054</v>
      </c>
      <c r="C29" s="1" t="s">
        <v>39</v>
      </c>
      <c r="D29" s="22">
        <v>0</v>
      </c>
      <c r="E29" s="1" t="s">
        <v>40</v>
      </c>
      <c r="F29" s="22">
        <v>0.99998842592592596</v>
      </c>
      <c r="G29" s="1">
        <v>43.3</v>
      </c>
      <c r="H29" s="1">
        <v>63.6</v>
      </c>
      <c r="I29" s="1">
        <v>77.2</v>
      </c>
      <c r="J29" s="44">
        <v>-1</v>
      </c>
      <c r="K29" s="44">
        <v>-1</v>
      </c>
      <c r="L29" s="44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68</v>
      </c>
      <c r="B30" s="1">
        <v>20058</v>
      </c>
      <c r="C30" s="1" t="s">
        <v>39</v>
      </c>
      <c r="D30" s="22">
        <v>0</v>
      </c>
      <c r="E30" s="1" t="s">
        <v>40</v>
      </c>
      <c r="F30" s="22">
        <v>0.99998842592592596</v>
      </c>
      <c r="G30" s="44">
        <v>-1</v>
      </c>
      <c r="H30" s="44">
        <v>-1</v>
      </c>
      <c r="I30" s="44">
        <v>-1</v>
      </c>
      <c r="J30" s="44">
        <v>-1</v>
      </c>
      <c r="K30" s="44">
        <v>-1</v>
      </c>
      <c r="L30" s="44">
        <v>-1</v>
      </c>
      <c r="M30" s="44">
        <v>-1</v>
      </c>
      <c r="N30" s="44">
        <v>-1</v>
      </c>
      <c r="O30" s="44">
        <v>-1</v>
      </c>
      <c r="P30" s="44">
        <v>-1</v>
      </c>
      <c r="Q30" s="44">
        <v>-1</v>
      </c>
      <c r="R30" s="44">
        <v>-1</v>
      </c>
      <c r="S30" s="44">
        <v>-1</v>
      </c>
      <c r="T30" s="44">
        <v>-1</v>
      </c>
      <c r="U30" s="44">
        <v>-1</v>
      </c>
      <c r="V30" s="44">
        <v>-1</v>
      </c>
      <c r="W30" s="44">
        <v>-1</v>
      </c>
      <c r="X30" s="46">
        <v>45150</v>
      </c>
    </row>
    <row r="31" spans="1:24">
      <c r="A31" s="1" t="s">
        <v>69</v>
      </c>
      <c r="B31" s="1">
        <v>20060</v>
      </c>
      <c r="C31" s="1" t="s">
        <v>39</v>
      </c>
      <c r="D31" s="22">
        <v>0</v>
      </c>
      <c r="E31" s="1" t="s">
        <v>40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44">
        <v>-1</v>
      </c>
      <c r="K31" s="44">
        <v>-1</v>
      </c>
      <c r="L31" s="44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70</v>
      </c>
      <c r="B32" s="1">
        <v>21000</v>
      </c>
      <c r="C32" s="1" t="s">
        <v>39</v>
      </c>
      <c r="D32" s="22">
        <v>0</v>
      </c>
      <c r="E32" s="1" t="s">
        <v>40</v>
      </c>
      <c r="F32" s="22">
        <v>0.99998842592592596</v>
      </c>
      <c r="G32" s="44">
        <v>-1</v>
      </c>
      <c r="H32" s="44">
        <v>-1</v>
      </c>
      <c r="I32" s="44">
        <v>-1</v>
      </c>
      <c r="J32" s="44">
        <v>-1</v>
      </c>
      <c r="K32" s="44">
        <v>-1</v>
      </c>
      <c r="L32" s="44">
        <v>-1</v>
      </c>
      <c r="M32" s="44">
        <v>-1</v>
      </c>
      <c r="N32" s="44">
        <v>-1</v>
      </c>
      <c r="O32" s="44">
        <v>-1</v>
      </c>
      <c r="P32" s="44">
        <v>-1</v>
      </c>
      <c r="Q32" s="44">
        <v>-1</v>
      </c>
      <c r="R32" s="44">
        <v>-1</v>
      </c>
      <c r="S32" s="44">
        <v>-1</v>
      </c>
      <c r="T32" s="44">
        <v>-1</v>
      </c>
      <c r="U32" s="44">
        <v>-1</v>
      </c>
      <c r="V32" s="44">
        <v>-1</v>
      </c>
      <c r="W32" s="44">
        <v>-1</v>
      </c>
      <c r="X32" s="46">
        <v>45143</v>
      </c>
    </row>
    <row r="33" spans="1:24">
      <c r="A33" s="1" t="s">
        <v>71</v>
      </c>
      <c r="B33" s="1">
        <v>21002</v>
      </c>
      <c r="C33" s="1" t="s">
        <v>39</v>
      </c>
      <c r="D33" s="22">
        <v>0</v>
      </c>
      <c r="E33" s="1" t="s">
        <v>40</v>
      </c>
      <c r="F33" s="22">
        <v>0.99998842592592596</v>
      </c>
      <c r="G33" s="1">
        <v>41.5</v>
      </c>
      <c r="H33" s="1">
        <v>61.4</v>
      </c>
      <c r="I33" s="1">
        <v>75</v>
      </c>
      <c r="J33" s="44">
        <v>-1</v>
      </c>
      <c r="K33" s="44">
        <v>-1</v>
      </c>
      <c r="L33" s="44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72</v>
      </c>
      <c r="B34" s="1">
        <v>21004</v>
      </c>
      <c r="C34" s="1" t="s">
        <v>39</v>
      </c>
      <c r="D34" s="22">
        <v>0</v>
      </c>
      <c r="E34" s="1" t="s">
        <v>40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44">
        <v>-1</v>
      </c>
      <c r="K34" s="44">
        <v>-1</v>
      </c>
      <c r="L34" s="44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73</v>
      </c>
      <c r="B35" s="1">
        <v>21006</v>
      </c>
      <c r="C35" s="1" t="s">
        <v>39</v>
      </c>
      <c r="D35" s="22">
        <v>0</v>
      </c>
      <c r="E35" s="1" t="s">
        <v>40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44">
        <v>-1</v>
      </c>
      <c r="K35" s="44">
        <v>-1</v>
      </c>
      <c r="L35" s="44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74</v>
      </c>
      <c r="B36" s="1">
        <v>21008</v>
      </c>
      <c r="C36" s="1" t="s">
        <v>39</v>
      </c>
      <c r="D36" s="22">
        <v>0</v>
      </c>
      <c r="E36" s="1" t="s">
        <v>40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44">
        <v>-1</v>
      </c>
      <c r="K36" s="44">
        <v>-1</v>
      </c>
      <c r="L36" s="44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75</v>
      </c>
      <c r="B37" s="1">
        <v>21010</v>
      </c>
      <c r="C37" s="1" t="s">
        <v>39</v>
      </c>
      <c r="D37" s="22">
        <v>0</v>
      </c>
      <c r="E37" s="1" t="s">
        <v>40</v>
      </c>
      <c r="F37" s="22">
        <v>0.99998842592592596</v>
      </c>
      <c r="G37" s="1">
        <v>48.3</v>
      </c>
      <c r="H37" s="1">
        <v>72</v>
      </c>
      <c r="I37" s="1">
        <v>89</v>
      </c>
      <c r="J37" s="44">
        <v>-1</v>
      </c>
      <c r="K37" s="44">
        <v>-1</v>
      </c>
      <c r="L37" s="44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76</v>
      </c>
      <c r="B38" s="1">
        <v>21012</v>
      </c>
      <c r="C38" s="1" t="s">
        <v>39</v>
      </c>
      <c r="D38" s="22">
        <v>0</v>
      </c>
      <c r="E38" s="1" t="s">
        <v>40</v>
      </c>
      <c r="F38" s="22">
        <v>0.99998842592592596</v>
      </c>
      <c r="G38" s="1">
        <v>49.1</v>
      </c>
      <c r="H38" s="1">
        <v>72.8</v>
      </c>
      <c r="I38" s="1">
        <v>90.9</v>
      </c>
      <c r="J38" s="44">
        <v>-1</v>
      </c>
      <c r="K38" s="44">
        <v>-1</v>
      </c>
      <c r="L38" s="44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77</v>
      </c>
      <c r="B39" s="1">
        <v>21014</v>
      </c>
      <c r="C39" s="1" t="s">
        <v>39</v>
      </c>
      <c r="D39" s="22">
        <v>0</v>
      </c>
      <c r="E39" s="1" t="s">
        <v>40</v>
      </c>
      <c r="F39" s="22">
        <v>0.99998842592592596</v>
      </c>
      <c r="G39" s="1">
        <v>50.6</v>
      </c>
      <c r="H39" s="1">
        <v>75</v>
      </c>
      <c r="I39" s="1">
        <v>93.1</v>
      </c>
      <c r="J39" s="44">
        <v>-1</v>
      </c>
      <c r="K39" s="44">
        <v>-1</v>
      </c>
      <c r="L39" s="44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78</v>
      </c>
      <c r="B40" s="1">
        <v>21016</v>
      </c>
      <c r="C40" s="1" t="s">
        <v>39</v>
      </c>
      <c r="D40" s="22">
        <v>0</v>
      </c>
      <c r="E40" s="1" t="s">
        <v>40</v>
      </c>
      <c r="F40" s="22">
        <v>0.99998842592592596</v>
      </c>
      <c r="G40" s="1">
        <v>51.8</v>
      </c>
      <c r="H40" s="1">
        <v>77.2</v>
      </c>
      <c r="I40" s="1">
        <v>93.1</v>
      </c>
      <c r="J40" s="44">
        <v>-1</v>
      </c>
      <c r="K40" s="44">
        <v>-1</v>
      </c>
      <c r="L40" s="44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>
      <c r="H41" s="1">
        <f>SUMIF(H2:H40, "&gt;20")</f>
        <v>1473.0000000000002</v>
      </c>
    </row>
  </sheetData>
  <autoFilter ref="A1:X41" xr:uid="{00000000-0001-0000-0000-000000000000}"/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5"/>
  <cols>
    <col min="1" max="1" width="8.33203125" style="1" bestFit="1" customWidth="1"/>
    <col min="2" max="2" width="73.83203125" style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E3" s="1">
        <v>5</v>
      </c>
    </row>
    <row r="4" spans="1:5">
      <c r="A4" s="6">
        <v>2</v>
      </c>
      <c r="B4" s="2" t="s">
        <v>86</v>
      </c>
      <c r="C4" s="2"/>
      <c r="E4" s="1">
        <v>5</v>
      </c>
    </row>
    <row r="5" spans="1:5">
      <c r="A5" s="6">
        <v>3</v>
      </c>
      <c r="B5" s="2" t="s">
        <v>87</v>
      </c>
      <c r="C5" s="32">
        <f>SUMIF(H2:H40, "&gt;20")</f>
        <v>0</v>
      </c>
      <c r="E5" s="1">
        <v>10</v>
      </c>
    </row>
    <row r="6" spans="1:5">
      <c r="A6" s="6">
        <v>4</v>
      </c>
      <c r="B6" s="2" t="s">
        <v>88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37" sqref="H37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9" customFormat="1" ht="21">
      <c r="A1" s="40" t="s">
        <v>9</v>
      </c>
      <c r="B1" s="39" t="s">
        <v>89</v>
      </c>
    </row>
    <row r="2" spans="1:7" s="39" customFormat="1" ht="21">
      <c r="B2" s="39" t="s">
        <v>90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6" t="s">
        <v>91</v>
      </c>
      <c r="B4" s="1"/>
      <c r="C4" s="1"/>
      <c r="D4" s="1"/>
      <c r="E4" s="1"/>
      <c r="F4" s="1"/>
      <c r="G4" s="1"/>
    </row>
    <row r="5" spans="1:7" ht="15">
      <c r="A5" s="18" t="s">
        <v>14</v>
      </c>
      <c r="B5" s="19" t="s">
        <v>20</v>
      </c>
      <c r="C5" s="20" t="s">
        <v>27</v>
      </c>
      <c r="D5" s="19" t="s">
        <v>31</v>
      </c>
      <c r="E5" s="20" t="s">
        <v>33</v>
      </c>
      <c r="F5" s="21" t="s">
        <v>35</v>
      </c>
    </row>
    <row r="6" spans="1:7" ht="15">
      <c r="A6" s="7" t="s">
        <v>38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5">
      <c r="A7" s="7" t="s">
        <v>41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7" ht="15">
      <c r="A8" s="7" t="s">
        <v>42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7" ht="15">
      <c r="A9" s="7" t="s">
        <v>43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7" ht="15">
      <c r="A10" s="7" t="s">
        <v>46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5">
      <c r="A11" s="7" t="s">
        <v>47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5">
      <c r="A12" s="7" t="s">
        <v>49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5">
      <c r="A13" s="7" t="s">
        <v>50</v>
      </c>
      <c r="B13" s="45">
        <v>0</v>
      </c>
      <c r="C13" s="45">
        <v>0</v>
      </c>
      <c r="D13" s="45">
        <v>0</v>
      </c>
      <c r="E13" s="45">
        <v>0</v>
      </c>
      <c r="F13" s="45">
        <v>0</v>
      </c>
    </row>
    <row r="14" spans="1:7" ht="15">
      <c r="A14" s="7" t="s">
        <v>51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5">
      <c r="A15" s="7" t="s">
        <v>53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</row>
    <row r="16" spans="1:7" ht="15">
      <c r="A16" s="7" t="s">
        <v>55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6" ht="15">
      <c r="A17" s="7" t="s">
        <v>57</v>
      </c>
      <c r="B17" s="1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6" ht="15">
      <c r="A18" s="7" t="s">
        <v>58</v>
      </c>
      <c r="B18" s="1">
        <v>33.799999999999997</v>
      </c>
      <c r="C18" s="1">
        <v>101.3</v>
      </c>
      <c r="D18" s="1">
        <v>61.4</v>
      </c>
      <c r="E18" s="1">
        <v>124.4</v>
      </c>
      <c r="F18" s="1">
        <v>61.4</v>
      </c>
    </row>
    <row r="19" spans="1:6" ht="15">
      <c r="A19" s="7" t="s">
        <v>59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5">
      <c r="A20" s="7" t="s">
        <v>64</v>
      </c>
      <c r="B20" s="45">
        <v>0</v>
      </c>
      <c r="C20" s="45">
        <v>0</v>
      </c>
      <c r="D20" s="45">
        <v>0</v>
      </c>
      <c r="E20" s="45">
        <v>0</v>
      </c>
      <c r="F20" s="45">
        <v>0</v>
      </c>
    </row>
    <row r="21" spans="1:6" ht="15">
      <c r="A21" s="7" t="s">
        <v>65</v>
      </c>
      <c r="B21" s="1">
        <v>41.3</v>
      </c>
      <c r="C21" s="1">
        <v>124.4</v>
      </c>
      <c r="D21" s="1">
        <v>75</v>
      </c>
      <c r="E21" s="1">
        <v>151.5</v>
      </c>
      <c r="F21" s="1">
        <v>75</v>
      </c>
    </row>
    <row r="22" spans="1:6" ht="15">
      <c r="A22" s="7" t="s">
        <v>68</v>
      </c>
      <c r="B22" s="44">
        <v>-1</v>
      </c>
      <c r="C22" s="44">
        <v>-1</v>
      </c>
      <c r="D22" s="44">
        <v>-1</v>
      </c>
      <c r="E22" s="44">
        <v>-1</v>
      </c>
      <c r="F22" s="44">
        <v>-1</v>
      </c>
    </row>
    <row r="23" spans="1:6" ht="15">
      <c r="A23" s="7" t="s">
        <v>69</v>
      </c>
      <c r="B23" s="1">
        <v>45</v>
      </c>
      <c r="C23" s="1">
        <v>133.4</v>
      </c>
      <c r="D23" s="1">
        <v>79.400000000000006</v>
      </c>
      <c r="E23" s="1">
        <v>160.9</v>
      </c>
      <c r="F23" s="1">
        <v>79.400000000000006</v>
      </c>
    </row>
    <row r="24" spans="1:6" ht="15">
      <c r="A24" s="7" t="s">
        <v>70</v>
      </c>
      <c r="B24" s="44">
        <v>-1</v>
      </c>
      <c r="C24" s="44">
        <v>-1</v>
      </c>
      <c r="D24" s="44">
        <v>-1</v>
      </c>
      <c r="E24" s="44">
        <v>-1</v>
      </c>
      <c r="F24" s="44">
        <v>-1</v>
      </c>
    </row>
    <row r="25" spans="1:6" ht="15">
      <c r="A25" s="7" t="s">
        <v>72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6" ht="15">
      <c r="A26" s="7" t="s">
        <v>76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6" ht="15">
      <c r="A27" s="7" t="s">
        <v>78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6" ht="15">
      <c r="A28" s="17" t="s">
        <v>92</v>
      </c>
      <c r="B28" s="29">
        <v>-1</v>
      </c>
      <c r="C28" s="29">
        <v>-1</v>
      </c>
      <c r="D28" s="29">
        <v>-1</v>
      </c>
      <c r="E28" s="29">
        <v>-1</v>
      </c>
      <c r="F28" s="29">
        <v>-1</v>
      </c>
    </row>
    <row r="29" spans="1:6" ht="15">
      <c r="A29" s="17" t="s">
        <v>93</v>
      </c>
      <c r="B29" s="29">
        <v>51.8</v>
      </c>
      <c r="C29" s="29">
        <v>156.4</v>
      </c>
      <c r="D29" s="29">
        <v>93.1</v>
      </c>
      <c r="E29" s="29">
        <v>188.1</v>
      </c>
      <c r="F29" s="29">
        <v>93.1</v>
      </c>
    </row>
    <row r="30" spans="1:6" ht="15">
      <c r="A30" s="17" t="s">
        <v>94</v>
      </c>
      <c r="B30" s="29">
        <f>AVERAGE(B6:B27)</f>
        <v>20.827272727272728</v>
      </c>
      <c r="C30" s="29">
        <f>AVERAGE(C6:C27)</f>
        <v>62.377272727272725</v>
      </c>
      <c r="D30" s="29">
        <f>AVERAGE(D6:D27)</f>
        <v>37.800000000000004</v>
      </c>
      <c r="E30" s="29">
        <f>AVERAGE(E6:E27)</f>
        <v>76.418181818181822</v>
      </c>
      <c r="F30" s="29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P54"/>
  <sheetViews>
    <sheetView zoomScaleNormal="100" workbookViewId="0">
      <selection activeCell="B5" sqref="B5:P5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6" s="39" customFormat="1" ht="21">
      <c r="A1" s="40" t="s">
        <v>10</v>
      </c>
      <c r="B1" s="39" t="s">
        <v>95</v>
      </c>
    </row>
    <row r="2" spans="1:16" customFormat="1" ht="12.95"/>
    <row r="3" spans="1:16" s="2" customFormat="1">
      <c r="B3" s="1"/>
    </row>
    <row r="4" spans="1:16" s="2" customFormat="1">
      <c r="B4" s="1" t="s">
        <v>96</v>
      </c>
    </row>
    <row r="5" spans="1:16" ht="43.5" customHeight="1">
      <c r="A5" s="51" t="s">
        <v>97</v>
      </c>
      <c r="B5" s="49" t="s">
        <v>98</v>
      </c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</row>
    <row r="6" spans="1:16" ht="120" customHeight="1">
      <c r="A6" s="51" t="s">
        <v>99</v>
      </c>
      <c r="B6" s="48" t="s">
        <v>100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8.75">
      <c r="A7" s="41"/>
      <c r="B7" s="38"/>
    </row>
    <row r="9" spans="1:16" ht="23.25">
      <c r="A9" s="16" t="s">
        <v>101</v>
      </c>
      <c r="I9" s="2"/>
      <c r="J9" s="2"/>
    </row>
    <row r="10" spans="1:16">
      <c r="A10" s="31" t="s">
        <v>102</v>
      </c>
      <c r="B10" s="15" t="s">
        <v>103</v>
      </c>
      <c r="C10" s="15" t="s">
        <v>104</v>
      </c>
      <c r="D10" s="15" t="s">
        <v>105</v>
      </c>
      <c r="E10" s="15" t="s">
        <v>106</v>
      </c>
      <c r="F10" s="15" t="s">
        <v>107</v>
      </c>
      <c r="I10" s="2"/>
      <c r="J10" s="2"/>
    </row>
    <row r="11" spans="1:16">
      <c r="A11" s="8" t="s">
        <v>108</v>
      </c>
      <c r="B11" s="11">
        <v>20000</v>
      </c>
      <c r="C11" s="11" t="s">
        <v>39</v>
      </c>
      <c r="D11" s="11">
        <v>0</v>
      </c>
      <c r="E11" s="9" t="s">
        <v>40</v>
      </c>
      <c r="F11" s="9">
        <v>24</v>
      </c>
      <c r="I11" s="2"/>
      <c r="J11" s="2"/>
    </row>
    <row r="14" spans="1:16" ht="24">
      <c r="A14" s="16" t="s">
        <v>91</v>
      </c>
    </row>
    <row r="15" spans="1:16">
      <c r="A15" s="12" t="s">
        <v>109</v>
      </c>
      <c r="B15" s="15" t="s">
        <v>103</v>
      </c>
      <c r="C15" s="13" t="s">
        <v>104</v>
      </c>
      <c r="D15" s="15" t="s">
        <v>105</v>
      </c>
      <c r="E15" s="13" t="s">
        <v>106</v>
      </c>
      <c r="F15" s="15" t="s">
        <v>107</v>
      </c>
    </row>
    <row r="16" spans="1:16">
      <c r="A16" s="7" t="s">
        <v>108</v>
      </c>
      <c r="B16" s="10">
        <v>20002</v>
      </c>
      <c r="C16" s="1" t="s">
        <v>110</v>
      </c>
      <c r="D16" s="10">
        <v>0</v>
      </c>
      <c r="E16" s="1" t="s">
        <v>40</v>
      </c>
      <c r="F16" s="10">
        <v>24</v>
      </c>
    </row>
    <row r="17" spans="1:6">
      <c r="A17" s="7" t="s">
        <v>111</v>
      </c>
      <c r="B17" s="10">
        <v>20002</v>
      </c>
      <c r="C17" s="1" t="s">
        <v>110</v>
      </c>
      <c r="D17" s="10">
        <v>0</v>
      </c>
      <c r="E17" s="1" t="s">
        <v>40</v>
      </c>
      <c r="F17" s="10">
        <v>24</v>
      </c>
    </row>
    <row r="18" spans="1:6">
      <c r="A18" s="7" t="s">
        <v>112</v>
      </c>
      <c r="B18" s="10">
        <v>20004</v>
      </c>
      <c r="C18" s="1" t="s">
        <v>39</v>
      </c>
      <c r="D18" s="10">
        <v>0</v>
      </c>
      <c r="E18" s="1" t="s">
        <v>40</v>
      </c>
      <c r="F18" s="10">
        <v>24</v>
      </c>
    </row>
    <row r="19" spans="1:6">
      <c r="A19" s="7" t="s">
        <v>113</v>
      </c>
      <c r="B19" s="10">
        <v>20006</v>
      </c>
      <c r="C19" s="1" t="s">
        <v>39</v>
      </c>
      <c r="D19" s="10">
        <v>0</v>
      </c>
      <c r="E19" s="1" t="s">
        <v>40</v>
      </c>
      <c r="F19" s="47">
        <v>24</v>
      </c>
    </row>
    <row r="20" spans="1:6">
      <c r="A20" s="7" t="s">
        <v>114</v>
      </c>
      <c r="B20" s="10">
        <v>20008</v>
      </c>
      <c r="C20" s="1" t="s">
        <v>39</v>
      </c>
      <c r="D20" s="10">
        <v>0</v>
      </c>
      <c r="E20" s="1" t="s">
        <v>40</v>
      </c>
      <c r="F20" s="47">
        <v>24</v>
      </c>
    </row>
    <row r="21" spans="1:6">
      <c r="A21" s="7" t="s">
        <v>115</v>
      </c>
      <c r="B21" s="10">
        <v>20010</v>
      </c>
      <c r="C21" s="1" t="s">
        <v>39</v>
      </c>
      <c r="D21" s="10">
        <v>0</v>
      </c>
      <c r="E21" s="1" t="s">
        <v>40</v>
      </c>
      <c r="F21" s="47">
        <v>24</v>
      </c>
    </row>
    <row r="22" spans="1:6">
      <c r="A22" s="7" t="s">
        <v>116</v>
      </c>
      <c r="B22" s="10">
        <v>20012</v>
      </c>
      <c r="C22" s="1" t="s">
        <v>39</v>
      </c>
      <c r="D22" s="10">
        <v>0</v>
      </c>
      <c r="E22" s="1" t="s">
        <v>40</v>
      </c>
      <c r="F22" s="47">
        <v>24</v>
      </c>
    </row>
    <row r="23" spans="1:6">
      <c r="A23" s="7" t="s">
        <v>117</v>
      </c>
      <c r="B23" s="10">
        <v>20014</v>
      </c>
      <c r="C23" s="1" t="s">
        <v>39</v>
      </c>
      <c r="D23" s="10">
        <v>0</v>
      </c>
      <c r="E23" s="1" t="s">
        <v>40</v>
      </c>
      <c r="F23" s="47">
        <v>24</v>
      </c>
    </row>
    <row r="24" spans="1:6">
      <c r="A24" s="7" t="s">
        <v>118</v>
      </c>
      <c r="B24" s="10">
        <v>20016</v>
      </c>
      <c r="C24" s="1" t="s">
        <v>39</v>
      </c>
      <c r="D24" s="10">
        <v>0</v>
      </c>
      <c r="E24" s="1" t="s">
        <v>40</v>
      </c>
      <c r="F24" s="47">
        <v>24</v>
      </c>
    </row>
    <row r="25" spans="1:6">
      <c r="A25" s="7" t="s">
        <v>119</v>
      </c>
      <c r="B25" s="10">
        <v>20018</v>
      </c>
      <c r="C25" s="1" t="s">
        <v>39</v>
      </c>
      <c r="D25" s="10">
        <v>0</v>
      </c>
      <c r="E25" s="1" t="s">
        <v>40</v>
      </c>
      <c r="F25" s="47">
        <v>24</v>
      </c>
    </row>
    <row r="26" spans="1:6">
      <c r="A26" s="7" t="s">
        <v>120</v>
      </c>
      <c r="B26" s="10">
        <v>20020</v>
      </c>
      <c r="C26" s="1" t="s">
        <v>39</v>
      </c>
      <c r="D26" s="10">
        <v>0</v>
      </c>
      <c r="E26" s="1" t="s">
        <v>40</v>
      </c>
      <c r="F26" s="47">
        <v>24</v>
      </c>
    </row>
    <row r="27" spans="1:6">
      <c r="A27" s="7" t="s">
        <v>121</v>
      </c>
      <c r="B27" s="10">
        <v>20022</v>
      </c>
      <c r="C27" s="1" t="s">
        <v>39</v>
      </c>
      <c r="D27" s="10">
        <v>0</v>
      </c>
      <c r="E27" s="1" t="s">
        <v>40</v>
      </c>
      <c r="F27" s="47">
        <v>24</v>
      </c>
    </row>
    <row r="28" spans="1:6">
      <c r="A28" s="7" t="s">
        <v>122</v>
      </c>
      <c r="B28" s="10">
        <v>20024</v>
      </c>
      <c r="C28" s="1" t="s">
        <v>39</v>
      </c>
      <c r="D28" s="10">
        <v>0</v>
      </c>
      <c r="E28" s="1" t="s">
        <v>40</v>
      </c>
      <c r="F28" s="47">
        <v>24</v>
      </c>
    </row>
    <row r="29" spans="1:6">
      <c r="A29" s="7" t="s">
        <v>123</v>
      </c>
      <c r="B29" s="10">
        <v>20026</v>
      </c>
      <c r="C29" s="1" t="s">
        <v>39</v>
      </c>
      <c r="D29" s="10">
        <v>0</v>
      </c>
      <c r="E29" s="1" t="s">
        <v>40</v>
      </c>
      <c r="F29" s="10">
        <v>24</v>
      </c>
    </row>
    <row r="30" spans="1:6">
      <c r="A30" s="7" t="s">
        <v>124</v>
      </c>
      <c r="B30" s="10">
        <v>20028</v>
      </c>
      <c r="C30" s="1" t="s">
        <v>39</v>
      </c>
      <c r="D30" s="10">
        <v>0</v>
      </c>
      <c r="E30" s="1" t="s">
        <v>40</v>
      </c>
      <c r="F30" s="10">
        <v>24</v>
      </c>
    </row>
    <row r="31" spans="1:6">
      <c r="A31" s="7" t="s">
        <v>125</v>
      </c>
      <c r="B31" s="10">
        <v>20030</v>
      </c>
      <c r="C31" s="1" t="s">
        <v>39</v>
      </c>
      <c r="D31" s="10">
        <v>0</v>
      </c>
      <c r="E31" s="1" t="s">
        <v>40</v>
      </c>
      <c r="F31" s="10">
        <v>24</v>
      </c>
    </row>
    <row r="32" spans="1:6">
      <c r="A32" s="7" t="s">
        <v>126</v>
      </c>
      <c r="B32" s="10">
        <v>20032</v>
      </c>
      <c r="C32" s="1" t="s">
        <v>39</v>
      </c>
      <c r="D32" s="10">
        <v>0</v>
      </c>
      <c r="E32" s="1" t="s">
        <v>40</v>
      </c>
      <c r="F32" s="10">
        <v>24</v>
      </c>
    </row>
    <row r="33" spans="1:6">
      <c r="A33" s="7" t="s">
        <v>127</v>
      </c>
      <c r="B33" s="10">
        <v>20034</v>
      </c>
      <c r="C33" s="1" t="s">
        <v>39</v>
      </c>
      <c r="D33" s="10">
        <v>0</v>
      </c>
      <c r="E33" s="1" t="s">
        <v>40</v>
      </c>
      <c r="F33" s="10">
        <v>24</v>
      </c>
    </row>
    <row r="34" spans="1:6">
      <c r="A34" s="7" t="s">
        <v>128</v>
      </c>
      <c r="B34" s="10">
        <v>20036</v>
      </c>
      <c r="C34" s="1" t="s">
        <v>39</v>
      </c>
      <c r="D34" s="10">
        <v>0</v>
      </c>
      <c r="E34" s="1" t="s">
        <v>40</v>
      </c>
      <c r="F34" s="10">
        <v>24</v>
      </c>
    </row>
    <row r="35" spans="1:6">
      <c r="A35" s="7" t="s">
        <v>129</v>
      </c>
      <c r="B35" s="10">
        <v>20038</v>
      </c>
      <c r="C35" s="1" t="s">
        <v>39</v>
      </c>
      <c r="D35" s="10">
        <v>0</v>
      </c>
      <c r="E35" s="1" t="s">
        <v>40</v>
      </c>
      <c r="F35" s="10">
        <v>24</v>
      </c>
    </row>
    <row r="36" spans="1:6">
      <c r="A36" s="7" t="s">
        <v>130</v>
      </c>
      <c r="B36" s="10">
        <v>20040</v>
      </c>
      <c r="C36" s="1" t="s">
        <v>39</v>
      </c>
      <c r="D36" s="10">
        <v>0</v>
      </c>
      <c r="E36" s="1" t="s">
        <v>40</v>
      </c>
      <c r="F36" s="10">
        <v>24</v>
      </c>
    </row>
    <row r="37" spans="1:6">
      <c r="A37" s="7" t="s">
        <v>131</v>
      </c>
      <c r="B37" s="10">
        <v>20042</v>
      </c>
      <c r="C37" s="1" t="s">
        <v>39</v>
      </c>
      <c r="D37" s="10">
        <v>0</v>
      </c>
      <c r="E37" s="1" t="s">
        <v>40</v>
      </c>
      <c r="F37" s="10">
        <v>24</v>
      </c>
    </row>
    <row r="38" spans="1:6">
      <c r="A38" s="7" t="s">
        <v>132</v>
      </c>
      <c r="B38" s="10">
        <v>20044</v>
      </c>
      <c r="C38" s="1" t="s">
        <v>39</v>
      </c>
      <c r="D38" s="10">
        <v>0</v>
      </c>
      <c r="E38" s="1" t="s">
        <v>40</v>
      </c>
      <c r="F38" s="10">
        <v>24</v>
      </c>
    </row>
    <row r="39" spans="1:6">
      <c r="A39" s="7" t="s">
        <v>133</v>
      </c>
      <c r="B39" s="10">
        <v>20046</v>
      </c>
      <c r="C39" s="1" t="s">
        <v>39</v>
      </c>
      <c r="D39" s="10">
        <v>0</v>
      </c>
      <c r="E39" s="1" t="s">
        <v>40</v>
      </c>
      <c r="F39" s="10">
        <v>24</v>
      </c>
    </row>
    <row r="40" spans="1:6">
      <c r="A40" s="7" t="s">
        <v>134</v>
      </c>
      <c r="B40" s="10">
        <v>20048</v>
      </c>
      <c r="C40" s="1" t="s">
        <v>39</v>
      </c>
      <c r="D40" s="10">
        <v>0</v>
      </c>
      <c r="E40" s="1" t="s">
        <v>40</v>
      </c>
      <c r="F40" s="10">
        <v>24</v>
      </c>
    </row>
    <row r="41" spans="1:6">
      <c r="A41" s="7" t="s">
        <v>135</v>
      </c>
      <c r="B41" s="10">
        <v>20050</v>
      </c>
      <c r="C41" s="1" t="s">
        <v>39</v>
      </c>
      <c r="D41" s="10">
        <v>0</v>
      </c>
      <c r="E41" s="1" t="s">
        <v>40</v>
      </c>
      <c r="F41" s="10">
        <v>24</v>
      </c>
    </row>
    <row r="42" spans="1:6">
      <c r="A42" s="7" t="s">
        <v>136</v>
      </c>
      <c r="B42" s="10">
        <v>20052</v>
      </c>
      <c r="C42" s="1" t="s">
        <v>39</v>
      </c>
      <c r="D42" s="10">
        <v>0</v>
      </c>
      <c r="E42" s="1" t="s">
        <v>40</v>
      </c>
      <c r="F42" s="10">
        <v>24</v>
      </c>
    </row>
    <row r="43" spans="1:6">
      <c r="A43" s="7" t="s">
        <v>137</v>
      </c>
      <c r="B43" s="10">
        <v>20054</v>
      </c>
      <c r="C43" s="1" t="s">
        <v>39</v>
      </c>
      <c r="D43" s="10">
        <v>0</v>
      </c>
      <c r="E43" s="1" t="s">
        <v>40</v>
      </c>
      <c r="F43" s="10">
        <v>24</v>
      </c>
    </row>
    <row r="44" spans="1:6">
      <c r="A44" s="7" t="s">
        <v>138</v>
      </c>
      <c r="B44" s="10">
        <v>20058</v>
      </c>
      <c r="C44" s="1" t="s">
        <v>39</v>
      </c>
      <c r="D44" s="10">
        <v>0</v>
      </c>
      <c r="E44" s="1" t="s">
        <v>40</v>
      </c>
      <c r="F44" s="10">
        <v>24</v>
      </c>
    </row>
    <row r="45" spans="1:6">
      <c r="A45" s="7" t="s">
        <v>139</v>
      </c>
      <c r="B45" s="10">
        <v>20060</v>
      </c>
      <c r="C45" s="1" t="s">
        <v>39</v>
      </c>
      <c r="D45" s="10">
        <v>0</v>
      </c>
      <c r="E45" s="1" t="s">
        <v>40</v>
      </c>
      <c r="F45" s="10">
        <v>24</v>
      </c>
    </row>
    <row r="46" spans="1:6">
      <c r="A46" s="7" t="s">
        <v>140</v>
      </c>
      <c r="B46" s="10">
        <v>21000</v>
      </c>
      <c r="C46" s="1" t="s">
        <v>39</v>
      </c>
      <c r="D46" s="10">
        <v>0</v>
      </c>
      <c r="E46" s="1" t="s">
        <v>40</v>
      </c>
      <c r="F46" s="10">
        <v>24</v>
      </c>
    </row>
    <row r="47" spans="1:6">
      <c r="A47" s="7" t="s">
        <v>141</v>
      </c>
      <c r="B47" s="10">
        <v>21002</v>
      </c>
      <c r="C47" s="1" t="s">
        <v>39</v>
      </c>
      <c r="D47" s="10">
        <v>0</v>
      </c>
      <c r="E47" s="1" t="s">
        <v>40</v>
      </c>
      <c r="F47" s="10">
        <v>24</v>
      </c>
    </row>
    <row r="48" spans="1:6">
      <c r="A48" s="7" t="s">
        <v>142</v>
      </c>
      <c r="B48" s="10">
        <v>21004</v>
      </c>
      <c r="C48" s="1" t="s">
        <v>39</v>
      </c>
      <c r="D48" s="10">
        <v>0</v>
      </c>
      <c r="E48" s="1" t="s">
        <v>40</v>
      </c>
      <c r="F48" s="10">
        <v>24</v>
      </c>
    </row>
    <row r="49" spans="1:6">
      <c r="A49" s="7" t="s">
        <v>143</v>
      </c>
      <c r="B49" s="10">
        <v>21006</v>
      </c>
      <c r="C49" s="1" t="s">
        <v>39</v>
      </c>
      <c r="D49" s="10">
        <v>0</v>
      </c>
      <c r="E49" s="1" t="s">
        <v>40</v>
      </c>
      <c r="F49" s="10">
        <v>24</v>
      </c>
    </row>
    <row r="50" spans="1:6">
      <c r="A50" s="7" t="s">
        <v>144</v>
      </c>
      <c r="B50" s="10">
        <v>21008</v>
      </c>
      <c r="C50" s="1" t="s">
        <v>39</v>
      </c>
      <c r="D50" s="10">
        <v>0</v>
      </c>
      <c r="E50" s="1" t="s">
        <v>40</v>
      </c>
      <c r="F50" s="10">
        <v>24</v>
      </c>
    </row>
    <row r="51" spans="1:6">
      <c r="A51" s="7" t="s">
        <v>145</v>
      </c>
      <c r="B51" s="10">
        <v>21010</v>
      </c>
      <c r="C51" s="1" t="s">
        <v>39</v>
      </c>
      <c r="D51" s="10">
        <v>0</v>
      </c>
      <c r="E51" s="1" t="s">
        <v>40</v>
      </c>
      <c r="F51" s="10">
        <v>24</v>
      </c>
    </row>
    <row r="52" spans="1:6">
      <c r="A52" s="7" t="s">
        <v>146</v>
      </c>
      <c r="B52" s="10">
        <v>21012</v>
      </c>
      <c r="C52" s="1" t="s">
        <v>39</v>
      </c>
      <c r="D52" s="10">
        <v>0</v>
      </c>
      <c r="E52" s="1" t="s">
        <v>40</v>
      </c>
      <c r="F52" s="10">
        <v>24</v>
      </c>
    </row>
    <row r="53" spans="1:6">
      <c r="A53" s="7" t="s">
        <v>147</v>
      </c>
      <c r="B53" s="10">
        <v>21014</v>
      </c>
      <c r="C53" s="1" t="s">
        <v>39</v>
      </c>
      <c r="D53" s="10">
        <v>0</v>
      </c>
      <c r="E53" s="1" t="s">
        <v>40</v>
      </c>
      <c r="F53" s="10">
        <v>24</v>
      </c>
    </row>
    <row r="54" spans="1:6">
      <c r="A54" s="8" t="s">
        <v>148</v>
      </c>
      <c r="B54" s="10">
        <v>21016</v>
      </c>
      <c r="C54" s="1" t="s">
        <v>39</v>
      </c>
      <c r="D54" s="11">
        <v>0</v>
      </c>
      <c r="E54" s="1" t="s">
        <v>40</v>
      </c>
      <c r="F54" s="11">
        <v>24</v>
      </c>
    </row>
  </sheetData>
  <mergeCells count="2">
    <mergeCell ref="B5:P5"/>
    <mergeCell ref="B6:P6"/>
  </mergeCells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M22"/>
  <sheetViews>
    <sheetView tabSelected="1" topLeftCell="A8" zoomScaleNormal="100" workbookViewId="0">
      <selection activeCell="C22" sqref="C22"/>
    </sheetView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13" ht="21">
      <c r="A1" s="40" t="s">
        <v>11</v>
      </c>
      <c r="B1" s="39" t="s">
        <v>149</v>
      </c>
    </row>
    <row r="2" spans="1:13" ht="18.95">
      <c r="B2" s="38" t="s">
        <v>150</v>
      </c>
    </row>
    <row r="5" spans="1:13" ht="15">
      <c r="B5" s="1" t="s">
        <v>96</v>
      </c>
    </row>
    <row r="6" spans="1:13" ht="42.75" customHeight="1">
      <c r="A6" s="54" t="s">
        <v>97</v>
      </c>
      <c r="B6" s="55" t="s">
        <v>151</v>
      </c>
      <c r="C6" s="55"/>
      <c r="D6" s="55"/>
      <c r="E6" s="55"/>
      <c r="F6" s="55"/>
      <c r="G6" s="55"/>
      <c r="H6" s="55"/>
      <c r="I6" s="55"/>
      <c r="J6" s="55"/>
      <c r="K6" s="55"/>
      <c r="L6" s="55"/>
    </row>
    <row r="7" spans="1:13" ht="75" customHeight="1">
      <c r="A7" s="54" t="s">
        <v>99</v>
      </c>
      <c r="B7" s="53" t="s">
        <v>152</v>
      </c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</row>
    <row r="8" spans="1:13" ht="12.75"/>
    <row r="10" spans="1:13" ht="23.25">
      <c r="A10" s="16" t="s">
        <v>91</v>
      </c>
    </row>
    <row r="11" spans="1:13" ht="15">
      <c r="A11" s="30" t="s">
        <v>153</v>
      </c>
      <c r="B11" s="15" t="s">
        <v>154</v>
      </c>
      <c r="C11" s="15" t="s">
        <v>155</v>
      </c>
    </row>
    <row r="12" spans="1:13" ht="15">
      <c r="A12" s="30">
        <v>44927</v>
      </c>
      <c r="B12" s="15" t="s">
        <v>156</v>
      </c>
      <c r="C12" s="15">
        <v>200</v>
      </c>
    </row>
    <row r="13" spans="1:13" ht="15">
      <c r="A13" s="30">
        <v>44928</v>
      </c>
      <c r="B13" s="15" t="s">
        <v>157</v>
      </c>
      <c r="C13" s="15" t="e">
        <v>#N/A</v>
      </c>
    </row>
    <row r="14" spans="1:13" ht="15">
      <c r="A14" s="30">
        <v>44929</v>
      </c>
      <c r="B14" s="15" t="s">
        <v>158</v>
      </c>
      <c r="C14" s="15">
        <v>50</v>
      </c>
    </row>
    <row r="15" spans="1:13" ht="15">
      <c r="A15" s="30">
        <v>44930</v>
      </c>
      <c r="B15" s="15" t="s">
        <v>159</v>
      </c>
      <c r="C15" s="15" t="e">
        <v>#N/A</v>
      </c>
    </row>
    <row r="16" spans="1:13" ht="15">
      <c r="A16" s="30">
        <v>44931</v>
      </c>
      <c r="B16" s="15" t="s">
        <v>160</v>
      </c>
      <c r="C16" s="15">
        <v>10</v>
      </c>
    </row>
    <row r="17" spans="1:3" ht="15">
      <c r="A17" s="30">
        <v>44932</v>
      </c>
      <c r="B17" s="15" t="s">
        <v>161</v>
      </c>
      <c r="C17" s="15">
        <v>150</v>
      </c>
    </row>
    <row r="18" spans="1:3" ht="15">
      <c r="A18" s="30">
        <v>44933</v>
      </c>
      <c r="B18" s="15" t="s">
        <v>162</v>
      </c>
      <c r="C18" s="15">
        <v>80</v>
      </c>
    </row>
    <row r="19" spans="1:3" ht="15">
      <c r="A19" s="30">
        <v>44934</v>
      </c>
      <c r="B19" s="15" t="s">
        <v>163</v>
      </c>
      <c r="C19" s="15" t="e">
        <v>#N/A</v>
      </c>
    </row>
    <row r="20" spans="1:3" ht="15">
      <c r="A20" s="30">
        <v>44935</v>
      </c>
      <c r="B20" s="15" t="s">
        <v>164</v>
      </c>
      <c r="C20" s="15">
        <v>30</v>
      </c>
    </row>
    <row r="21" spans="1:3" ht="15">
      <c r="A21" s="30">
        <v>44936</v>
      </c>
      <c r="B21" s="15" t="s">
        <v>165</v>
      </c>
      <c r="C21" s="15" t="e">
        <v>#N/A</v>
      </c>
    </row>
    <row r="22" spans="1:3" ht="15">
      <c r="B22" s="15" t="s">
        <v>166</v>
      </c>
      <c r="C22" s="23" cm="1">
        <f t="array" ref="C22">SUM(IF(ISNA(C12:C21), 20, C12:C21))</f>
        <v>600</v>
      </c>
    </row>
  </sheetData>
  <mergeCells count="2">
    <mergeCell ref="B7:M7"/>
    <mergeCell ref="B6:L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Q35"/>
  <sheetViews>
    <sheetView zoomScaleNormal="100" workbookViewId="0">
      <selection activeCell="L35" sqref="L35"/>
    </sheetView>
  </sheetViews>
  <sheetFormatPr defaultColWidth="11" defaultRowHeight="14.1"/>
  <cols>
    <col min="1" max="1" width="28.1640625" style="2" bestFit="1" customWidth="1"/>
    <col min="2" max="13" width="11" style="2"/>
    <col min="14" max="14" width="17.33203125" style="2" customWidth="1"/>
    <col min="15" max="16384" width="11" style="2"/>
  </cols>
  <sheetData>
    <row r="1" spans="1:14" ht="21">
      <c r="A1" s="40" t="s">
        <v>12</v>
      </c>
      <c r="B1" s="39" t="s">
        <v>167</v>
      </c>
    </row>
    <row r="3" spans="1:14" ht="15">
      <c r="B3" s="1" t="s">
        <v>96</v>
      </c>
    </row>
    <row r="4" spans="1:14" ht="18.95" customHeight="1">
      <c r="A4" s="41" t="s">
        <v>97</v>
      </c>
      <c r="B4" s="1"/>
      <c r="C4" s="58" t="s">
        <v>168</v>
      </c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</row>
    <row r="5" spans="1:14" ht="51" customHeight="1">
      <c r="A5" s="51" t="s">
        <v>99</v>
      </c>
      <c r="B5" s="53" t="s">
        <v>169</v>
      </c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</row>
    <row r="6" spans="1:14" ht="15">
      <c r="A6" s="3"/>
      <c r="B6" s="1"/>
    </row>
    <row r="8" spans="1:14" ht="23.25">
      <c r="A8" s="16" t="s">
        <v>91</v>
      </c>
      <c r="M8" s="16" t="s">
        <v>170</v>
      </c>
    </row>
    <row r="9" spans="1:14" ht="15">
      <c r="A9" s="24"/>
      <c r="B9" s="24" t="s">
        <v>171</v>
      </c>
      <c r="C9" s="24" t="s">
        <v>172</v>
      </c>
      <c r="D9" s="24" t="s">
        <v>173</v>
      </c>
      <c r="E9" s="24" t="s">
        <v>174</v>
      </c>
      <c r="F9" s="24" t="s">
        <v>175</v>
      </c>
      <c r="G9" s="24" t="s">
        <v>176</v>
      </c>
      <c r="H9" s="24" t="s">
        <v>177</v>
      </c>
      <c r="I9" s="24" t="s">
        <v>178</v>
      </c>
      <c r="J9" s="24" t="s">
        <v>179</v>
      </c>
      <c r="M9" s="17" t="s">
        <v>15</v>
      </c>
      <c r="N9" s="17" t="s">
        <v>180</v>
      </c>
    </row>
    <row r="10" spans="1:14" ht="15">
      <c r="A10" s="24" t="s">
        <v>171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171</v>
      </c>
    </row>
    <row r="11" spans="1:14" ht="15">
      <c r="A11" s="24" t="s">
        <v>172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172</v>
      </c>
    </row>
    <row r="12" spans="1:14" ht="15">
      <c r="A12" s="24" t="s">
        <v>173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173</v>
      </c>
    </row>
    <row r="13" spans="1:14" ht="15">
      <c r="A13" s="24" t="s">
        <v>174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174</v>
      </c>
    </row>
    <row r="14" spans="1:14" ht="15">
      <c r="A14" s="24" t="s">
        <v>175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175</v>
      </c>
    </row>
    <row r="15" spans="1:14" ht="15">
      <c r="A15" s="24" t="s">
        <v>176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176</v>
      </c>
    </row>
    <row r="16" spans="1:14" ht="15">
      <c r="A16" s="24" t="s">
        <v>177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177</v>
      </c>
    </row>
    <row r="17" spans="1:17" ht="15">
      <c r="A17" s="24" t="s">
        <v>178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178</v>
      </c>
    </row>
    <row r="18" spans="1:17" ht="15">
      <c r="A18" s="24" t="s">
        <v>179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179</v>
      </c>
    </row>
    <row r="21" spans="1:17" ht="24">
      <c r="A21" s="16" t="s">
        <v>181</v>
      </c>
    </row>
    <row r="22" spans="1:17" ht="15">
      <c r="A22" s="12" t="s">
        <v>182</v>
      </c>
      <c r="B22" s="15" t="s">
        <v>183</v>
      </c>
      <c r="C22" s="14" t="s">
        <v>102</v>
      </c>
    </row>
    <row r="23" spans="1:17" ht="15">
      <c r="A23" s="7">
        <v>10100</v>
      </c>
      <c r="B23" s="10">
        <v>10102</v>
      </c>
      <c r="C23" s="42">
        <v>95</v>
      </c>
    </row>
    <row r="24" spans="1:17" ht="15">
      <c r="A24" s="7">
        <v>10100</v>
      </c>
      <c r="B24" s="10">
        <v>10104</v>
      </c>
      <c r="C24" s="42">
        <v>-1</v>
      </c>
      <c r="O24" s="56" t="s">
        <v>184</v>
      </c>
    </row>
    <row r="25" spans="1:17" ht="15">
      <c r="A25" s="7">
        <v>10108</v>
      </c>
      <c r="B25" s="10">
        <v>10102</v>
      </c>
      <c r="C25" s="42">
        <v>390</v>
      </c>
      <c r="Q25" s="56" t="s">
        <v>184</v>
      </c>
    </row>
    <row r="26" spans="1:17" ht="15">
      <c r="A26" s="7">
        <v>10100</v>
      </c>
      <c r="B26" s="10">
        <v>10106</v>
      </c>
      <c r="C26" s="42">
        <v>305</v>
      </c>
    </row>
    <row r="27" spans="1:17" ht="15">
      <c r="A27" s="7">
        <v>10108</v>
      </c>
      <c r="B27" s="10">
        <v>10110</v>
      </c>
      <c r="C27" s="42">
        <v>430</v>
      </c>
    </row>
    <row r="28" spans="1:17" ht="15">
      <c r="A28" s="7">
        <v>10102</v>
      </c>
      <c r="B28" s="10">
        <v>10104</v>
      </c>
      <c r="C28" s="42">
        <v>-1</v>
      </c>
    </row>
    <row r="29" spans="1:17" ht="15">
      <c r="A29" s="7">
        <v>10106</v>
      </c>
      <c r="B29" s="10">
        <v>10108</v>
      </c>
      <c r="C29" s="42">
        <v>115</v>
      </c>
    </row>
    <row r="30" spans="1:17" ht="15">
      <c r="A30" s="7">
        <v>10102</v>
      </c>
      <c r="B30" s="10">
        <v>10106</v>
      </c>
      <c r="C30" s="42">
        <v>210</v>
      </c>
    </row>
    <row r="31" spans="1:17" ht="15">
      <c r="A31" s="7">
        <v>10110</v>
      </c>
      <c r="B31" s="10">
        <v>10114</v>
      </c>
      <c r="C31" s="42">
        <v>54.6</v>
      </c>
    </row>
    <row r="32" spans="1:17" ht="15">
      <c r="A32" s="7">
        <v>10104</v>
      </c>
      <c r="B32" s="10">
        <v>10106</v>
      </c>
      <c r="C32" s="42">
        <v>60</v>
      </c>
    </row>
    <row r="33" spans="1:3" ht="15">
      <c r="A33" s="7">
        <v>10110</v>
      </c>
      <c r="B33" s="10">
        <v>10112</v>
      </c>
      <c r="C33" s="42">
        <v>72</v>
      </c>
    </row>
    <row r="34" spans="1:3" ht="15">
      <c r="A34" s="7">
        <v>10100</v>
      </c>
      <c r="B34" s="10">
        <v>10114</v>
      </c>
      <c r="C34" s="42">
        <v>0</v>
      </c>
    </row>
    <row r="35" spans="1:3" ht="15">
      <c r="A35" s="8">
        <v>10112</v>
      </c>
      <c r="B35" s="11">
        <v>10116</v>
      </c>
      <c r="C35" s="43">
        <v>-1</v>
      </c>
    </row>
  </sheetData>
  <mergeCells count="2">
    <mergeCell ref="C4:N4"/>
    <mergeCell ref="B5:N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>Ankita KM</cp:lastModifiedBy>
  <cp:revision/>
  <dcterms:created xsi:type="dcterms:W3CDTF">2015-02-10T17:33:11Z</dcterms:created>
  <dcterms:modified xsi:type="dcterms:W3CDTF">2023-12-10T08:47:27Z</dcterms:modified>
  <cp:category/>
  <cp:contentStatus/>
</cp:coreProperties>
</file>